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nri\Downloads\"/>
    </mc:Choice>
  </mc:AlternateContent>
  <xr:revisionPtr revIDLastSave="0" documentId="8_{3C695358-3253-4911-93DD-A4AFDC52835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ceberg Threat Level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E12" i="1" s="1"/>
  <c r="B3" i="1"/>
  <c r="E9" i="1" l="1"/>
  <c r="G9" i="1" s="1"/>
  <c r="E10" i="1"/>
  <c r="G10" i="1" s="1"/>
  <c r="E11" i="1"/>
  <c r="G11" i="1" s="1"/>
  <c r="F9" i="1"/>
  <c r="F11" i="1" l="1"/>
  <c r="F10" i="1"/>
  <c r="G12" i="1"/>
  <c r="F12" i="1"/>
</calcChain>
</file>

<file path=xl/sharedStrings.xml><?xml version="1.0" encoding="utf-8"?>
<sst xmlns="http://schemas.openxmlformats.org/spreadsheetml/2006/main" count="17" uniqueCount="17">
  <si>
    <t>Iceberg Latitude</t>
  </si>
  <si>
    <t>Iceberg Longitude</t>
  </si>
  <si>
    <t>Iceberg Latitude (Decimal)</t>
  </si>
  <si>
    <t>Iceberg Longitude (Decimal)</t>
  </si>
  <si>
    <t>Iceberg Degrees (Degrees)</t>
  </si>
  <si>
    <t>Iceberg Keel Depth (Meters)</t>
  </si>
  <si>
    <t>Platform Name</t>
  </si>
  <si>
    <t>Water Depth (Dw​)</t>
  </si>
  <si>
    <t>Platform Lat (Yp​)</t>
  </si>
  <si>
    <t>Platform Lon (Xp​)</t>
  </si>
  <si>
    <t>CPA Distance (NM)</t>
  </si>
  <si>
    <t>Platform Threat Level</t>
  </si>
  <si>
    <t>Subsea Asset Threat</t>
  </si>
  <si>
    <t>Hibernia</t>
  </si>
  <si>
    <t>Sea Rose</t>
  </si>
  <si>
    <t>Terra Nova</t>
  </si>
  <si>
    <t>Hebron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</si>
</sst>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rgb="FF1F1F1F"/>
      <name val="&quot;Google Sans Text&quot;"/>
    </font>
    <font>
      <b/>
      <sz val="10"/>
      <color rgb="FF1F1F1F"/>
      <name val="&quot;Google Sans Text&quot;"/>
    </font>
    <font>
      <sz val="10"/>
      <color rgb="FF444746"/>
      <name val="&quot;Google Sans Text&quot;"/>
    </font>
  </fonts>
  <fills count="3">
    <fill>
      <patternFill patternType="none"/>
    </fill>
    <fill>
      <patternFill patternType="gray125"/>
    </fill>
    <fill>
      <patternFill patternType="solid">
        <fgColor rgb="FFFFE599"/>
        <bgColor rgb="FFFFE599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1" fillId="2" borderId="0" xfId="0" applyFont="1" applyFill="1" applyAlignment="1">
      <alignment wrapText="1"/>
    </xf>
    <xf numFmtId="0" fontId="1" fillId="2" borderId="0" xfId="0" applyFont="1" applyFill="1"/>
    <xf numFmtId="0" fontId="3" fillId="0" borderId="0" xfId="0" applyFont="1" applyAlignment="1">
      <alignment wrapText="1"/>
    </xf>
    <xf numFmtId="0" fontId="4" fillId="0" borderId="0" xfId="0" applyFont="1" applyAlignment="1">
      <alignment wrapText="1"/>
    </xf>
  </cellXfs>
  <cellStyles count="1">
    <cellStyle name="Normal" xfId="0" builtinId="0"/>
  </cellStyles>
  <dxfs count="5">
    <dxf>
      <fill>
        <patternFill patternType="solid">
          <fgColor rgb="FF00FF00"/>
          <bgColor rgb="FF00FF00"/>
        </patternFill>
      </fill>
    </dxf>
    <dxf>
      <fill>
        <patternFill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FF00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3</xdr:row>
      <xdr:rowOff>0</xdr:rowOff>
    </xdr:from>
    <xdr:to>
      <xdr:col>9</xdr:col>
      <xdr:colOff>327660</xdr:colOff>
      <xdr:row>5</xdr:row>
      <xdr:rowOff>60960</xdr:rowOff>
    </xdr:to>
    <xdr:sp macro="[0]!ClearMultiRange" textlink="">
      <xdr:nvSpPr>
        <xdr:cNvPr id="2" name="Rectangle 1">
          <a:extLst>
            <a:ext uri="{FF2B5EF4-FFF2-40B4-BE49-F238E27FC236}">
              <a16:creationId xmlns:a16="http://schemas.microsoft.com/office/drawing/2014/main" id="{D6E4D755-C64A-7F75-45F4-8FF37F476976}"/>
            </a:ext>
          </a:extLst>
        </xdr:cNvPr>
        <xdr:cNvSpPr/>
      </xdr:nvSpPr>
      <xdr:spPr>
        <a:xfrm>
          <a:off x="6987540" y="594360"/>
          <a:ext cx="1158240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Erase</a:t>
          </a:r>
          <a:r>
            <a:rPr lang="en-CA" sz="1100" baseline="0"/>
            <a:t> all values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L12"/>
  <sheetViews>
    <sheetView tabSelected="1" workbookViewId="0">
      <selection activeCell="G6" sqref="G6"/>
    </sheetView>
  </sheetViews>
  <sheetFormatPr defaultColWidth="12.6640625" defaultRowHeight="15.75" customHeight="1"/>
  <cols>
    <col min="5" max="5" width="12.6640625" customWidth="1"/>
  </cols>
  <sheetData>
    <row r="1" spans="1:12" ht="26.4">
      <c r="A1" s="1"/>
      <c r="B1" s="1"/>
      <c r="C1" s="1"/>
      <c r="D1" s="1"/>
      <c r="E1" s="1" t="s">
        <v>0</v>
      </c>
      <c r="F1" s="1" t="s">
        <v>1</v>
      </c>
      <c r="H1" s="1"/>
      <c r="I1" s="2"/>
      <c r="J1" s="2"/>
      <c r="K1" s="2"/>
      <c r="L1" s="2"/>
    </row>
    <row r="2" spans="1:12" ht="39.6">
      <c r="A2" s="1" t="s">
        <v>2</v>
      </c>
      <c r="B2" s="1">
        <f>E2+E3/60</f>
        <v>0</v>
      </c>
      <c r="C2" s="1"/>
      <c r="D2" s="1"/>
      <c r="E2" s="3"/>
      <c r="F2" s="3"/>
      <c r="H2" s="1"/>
    </row>
    <row r="3" spans="1:12" ht="39.6">
      <c r="A3" s="1" t="s">
        <v>3</v>
      </c>
      <c r="B3" s="1">
        <f>-(F2+F3/60)</f>
        <v>0</v>
      </c>
      <c r="C3" s="1"/>
      <c r="D3" s="1"/>
      <c r="E3" s="4"/>
      <c r="F3" s="3"/>
      <c r="H3" s="1"/>
    </row>
    <row r="4" spans="1:12" ht="39.6">
      <c r="A4" s="1" t="s">
        <v>4</v>
      </c>
      <c r="B4" s="3"/>
      <c r="C4" s="1"/>
      <c r="D4" s="1"/>
      <c r="E4" s="1"/>
      <c r="F4" s="1"/>
      <c r="G4" s="1"/>
      <c r="H4" s="1"/>
    </row>
    <row r="5" spans="1:12" ht="39.6">
      <c r="A5" s="1" t="s">
        <v>5</v>
      </c>
      <c r="B5" s="3"/>
      <c r="C5" s="1"/>
      <c r="D5" s="1"/>
      <c r="E5" s="1"/>
      <c r="F5" s="1"/>
      <c r="G5" s="1"/>
      <c r="H5" s="1"/>
    </row>
    <row r="6" spans="1:12" ht="13.2">
      <c r="A6" s="1"/>
      <c r="B6" s="1"/>
      <c r="C6" s="1"/>
      <c r="D6" s="1"/>
      <c r="E6" s="1"/>
      <c r="F6" s="1"/>
      <c r="G6" s="1"/>
      <c r="H6" s="1"/>
    </row>
    <row r="7" spans="1:12" ht="15.75" customHeight="1">
      <c r="A7" s="1"/>
      <c r="B7" s="1"/>
      <c r="C7" s="1"/>
      <c r="D7" s="1"/>
      <c r="E7" s="1"/>
      <c r="F7" s="1"/>
      <c r="G7" s="1"/>
      <c r="H7" s="1"/>
    </row>
    <row r="8" spans="1:12" ht="26.4">
      <c r="A8" s="2" t="s">
        <v>6</v>
      </c>
      <c r="B8" s="2" t="s">
        <v>7</v>
      </c>
      <c r="C8" s="2" t="s">
        <v>8</v>
      </c>
      <c r="D8" s="2" t="s">
        <v>9</v>
      </c>
      <c r="E8" s="2" t="s">
        <v>10</v>
      </c>
      <c r="F8" s="2" t="s">
        <v>11</v>
      </c>
      <c r="G8" s="2" t="s">
        <v>12</v>
      </c>
      <c r="H8" s="1"/>
    </row>
    <row r="9" spans="1:12" ht="26.4">
      <c r="A9" s="5" t="s">
        <v>13</v>
      </c>
      <c r="B9" s="1">
        <v>78</v>
      </c>
      <c r="C9" s="1">
        <v>46.750399999999999</v>
      </c>
      <c r="D9" s="2">
        <v>-48.7819</v>
      </c>
      <c r="E9" s="6">
        <f t="shared" ref="E9:E12" si="0">ABS((C9-$B$2)*SIN(RADIANS($B$4)) - ((D9-$B$3)*COS(RADIANS(46.54)))*COS(RADIANS($B$4))) * 60</f>
        <v>2013.2719444195445</v>
      </c>
      <c r="F9" s="6" t="str">
        <f>IF($B$5&gt;=(1.1*B9),"GREEN (Grounded)",IF(E9&gt;10,"GREEN",IF(E9&gt;=5,"YELLOW","RED")))</f>
        <v>GREEN</v>
      </c>
      <c r="G9" s="6" t="str">
        <f>IF(E9&gt;25,
    "GREEN (does not intersect)",
    IF($B$5&gt;=(1.1*B9),
       "GREEN (Grounded)",
        IF($B$5&lt;(0.7*B9),
           "GREEN",
            IF($B$5&gt;=(0.9*B9),
               "RED",
               "YELLOW")
           )
      )
)</f>
        <v>GREEN (does not intersect)</v>
      </c>
      <c r="H9" s="1"/>
      <c r="I9" s="2"/>
      <c r="J9" s="6"/>
    </row>
    <row r="10" spans="1:12" ht="26.4">
      <c r="A10" s="5" t="s">
        <v>16</v>
      </c>
      <c r="B10" s="2">
        <v>93</v>
      </c>
      <c r="C10" s="1">
        <v>46.543999999999997</v>
      </c>
      <c r="D10" s="2">
        <v>-48.497999999999998</v>
      </c>
      <c r="E10" s="6">
        <f t="shared" si="0"/>
        <v>2001.5551415680623</v>
      </c>
      <c r="F10" s="6" t="str">
        <f t="shared" ref="F10:F12" si="1">IF($B$5&gt;=(1.1*B10),"GREEN (Grounded)",IF(E10&gt;10,"GREEN",IF(E10&gt;=5,"YELLOW","RED")))</f>
        <v>GREEN</v>
      </c>
      <c r="G10" s="6" t="str">
        <f>IF(E10&gt;25,"GREEN (does not intersect)",IF($B$5&gt;=(1.1*B10),"GREEN (Grounded)",IF($B$5&lt;(0.7*B10),"GREEN",IF($B$5&gt;=(0.9*B10),"RED","YELLOW"))))</f>
        <v>GREEN (does not intersect)</v>
      </c>
      <c r="H10" s="1"/>
      <c r="I10" s="2"/>
      <c r="J10" s="6"/>
    </row>
    <row r="11" spans="1:12" ht="26.4">
      <c r="A11" s="5" t="s">
        <v>14</v>
      </c>
      <c r="B11" s="1">
        <v>107</v>
      </c>
      <c r="C11" s="1">
        <v>46.789499999999997</v>
      </c>
      <c r="D11" s="2">
        <v>-48.1417</v>
      </c>
      <c r="E11" s="6">
        <f t="shared" si="0"/>
        <v>1986.8503269996124</v>
      </c>
      <c r="F11" s="6" t="str">
        <f t="shared" si="1"/>
        <v>GREEN</v>
      </c>
      <c r="G11" s="6" t="str">
        <f t="shared" ref="G11:G12" si="2">IF(E11&gt;25,"GREEN (does not intersect)",IF($B$5&gt;=(1.1*B11),"GREEN (Grounded)",IF($B$5&lt;(0.7*B11),"GREEN",IF($B$5&gt;=(0.9*B11),"RED","YELLOW"))))</f>
        <v>GREEN (does not intersect)</v>
      </c>
      <c r="H11" s="1"/>
      <c r="I11" s="2"/>
      <c r="J11" s="6"/>
    </row>
    <row r="12" spans="1:12" ht="26.4">
      <c r="A12" s="5" t="s">
        <v>15</v>
      </c>
      <c r="B12" s="2">
        <v>91</v>
      </c>
      <c r="C12" s="1">
        <v>46.4</v>
      </c>
      <c r="D12" s="2">
        <v>-48.4</v>
      </c>
      <c r="E12" s="6">
        <f t="shared" si="0"/>
        <v>1997.5105953213374</v>
      </c>
      <c r="F12" s="6" t="str">
        <f t="shared" si="1"/>
        <v>GREEN</v>
      </c>
      <c r="G12" s="6" t="str">
        <f t="shared" si="2"/>
        <v>GREEN (does not intersect)</v>
      </c>
      <c r="H12" s="1"/>
      <c r="I12" s="2"/>
      <c r="J12" s="6"/>
    </row>
  </sheetData>
  <conditionalFormatting sqref="F1:F993">
    <cfRule type="containsText" dxfId="4" priority="2" operator="containsText" text="YELLOW">
      <formula>NOT(ISERROR(SEARCH(("YELLOW"),(F1))))</formula>
    </cfRule>
    <cfRule type="containsText" dxfId="3" priority="3" operator="containsText" text="GREEN">
      <formula>NOT(ISERROR(SEARCH(("GREEN"),(F1))))</formula>
    </cfRule>
  </conditionalFormatting>
  <conditionalFormatting sqref="F1:G993">
    <cfRule type="containsText" dxfId="2" priority="4" operator="containsText" text="RED">
      <formula>NOT(ISERROR(SEARCH(("RED"),(F1))))</formula>
    </cfRule>
    <cfRule type="containsText" dxfId="1" priority="1" operator="containsText" text="YELLOW">
      <formula>NOT(ISERROR(SEARCH("YELLOW",F1)))</formula>
    </cfRule>
  </conditionalFormatting>
  <conditionalFormatting sqref="G1:G993">
    <cfRule type="containsText" dxfId="0" priority="6" operator="containsText" text="GREEN">
      <formula>NOT(ISERROR(SEARCH(("GREEN"),(G1))))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Iceberg Threat Level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Ben Karl Riggs</cp:lastModifiedBy>
  <dcterms:created xsi:type="dcterms:W3CDTF">2026-06-02T23:06:57Z</dcterms:created>
  <dcterms:modified xsi:type="dcterms:W3CDTF">2026-06-04T22:33:56Z</dcterms:modified>
</cp:coreProperties>
</file>