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Iceberg Threat Level" sheetId="1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<sst xmlns="http://schemas.openxmlformats.org/spreadsheetml/2006/main" count="17" uniqueCount="17">
  <si>
    <t xml:space="preserve">Iceberg Latitude</t>
  </si>
  <si>
    <t xml:space="preserve">Iceberg Longitude</t>
  </si>
  <si>
    <t xml:space="preserve">Iceberg Latitude (Decimal)</t>
  </si>
  <si>
    <t xml:space="preserve">Iceberg Longitude (Decimal)</t>
  </si>
  <si>
    <t xml:space="preserve">Iceberg Degrees (Degrees)</t>
  </si>
  <si>
    <t xml:space="preserve">Iceberg Keel Depth (Meters)</t>
  </si>
  <si>
    <t xml:space="preserve">Platform Name</t>
  </si>
  <si>
    <t xml:space="preserve">Water Depth (Dw​)</t>
  </si>
  <si>
    <t xml:space="preserve">Platform Lat (Yp​)</t>
  </si>
  <si>
    <t xml:space="preserve">Platform Lon (Xp​)</t>
  </si>
  <si>
    <t xml:space="preserve">CPA Distance (NM)</t>
  </si>
  <si>
    <t xml:space="preserve">Platform Threat Level</t>
  </si>
  <si>
    <t xml:space="preserve">Subsea Asset Threat</t>
  </si>
  <si>
    <t xml:space="preserve">Hibernia</t>
  </si>
  <si>
    <t xml:space="preserve">Sea Rose</t>
  </si>
  <si>
    <t xml:space="preserve">Terra Nova</t>
  </si>
  <si>
    <t xml:space="preserve">Hebron</t>
  </si>
</sst>
</file>

<file path=xl/styles.xml><?xml version="1.0" encoding="utf-8"?>
<styleSheet xmlns="http://schemas.openxmlformats.org/spreadsheetml/2006/main">
  <numFmts count="1">
    <numFmt numFmtId="164" formatCode="General"/>
  </numFmts>
  <fonts count="9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"/>
      <family val="0"/>
      <charset val="1"/>
    </font>
    <font>
      <sz val="10"/>
      <color rgb="FF1F1F1F"/>
      <name val="&quot;Google Sans Text&quot;"/>
      <family val="0"/>
      <charset val="1"/>
    </font>
    <font>
      <b val="true"/>
      <sz val="10"/>
      <color rgb="FF1F1F1F"/>
      <name val="&quot;Google Sans Text&quot;"/>
      <family val="0"/>
      <charset val="1"/>
    </font>
    <font>
      <sz val="10"/>
      <color rgb="FF444746"/>
      <name val="&quot;Google Sans Text&quot;"/>
      <family val="0"/>
      <charset val="1"/>
    </font>
    <font>
      <sz val="11"/>
      <color theme="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FFE599"/>
        <bgColor rgb="FFFFFF99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4"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E5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1F1F1F"/>
      <rgbColor rgb="FF993300"/>
      <rgbColor rgb="FF993366"/>
      <rgbColor rgb="FF333399"/>
      <rgbColor rgb="FF444746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3</xdr:col>
      <xdr:colOff>191880</xdr:colOff>
      <xdr:row>4</xdr:row>
      <xdr:rowOff>94320</xdr:rowOff>
    </xdr:from>
    <xdr:to>
      <xdr:col>6</xdr:col>
      <xdr:colOff>105840</xdr:colOff>
      <xdr:row>4</xdr:row>
      <xdr:rowOff>844560</xdr:rowOff>
    </xdr:to>
    <xdr:sp macro="[0]!ClearMultiRange">
      <xdr:nvSpPr>
        <xdr:cNvPr id="1" name="Rectangle 1"/>
        <xdr:cNvSpPr/>
      </xdr:nvSpPr>
      <xdr:spPr>
        <a:xfrm rot="21537000">
          <a:off x="2869920" y="2315160"/>
          <a:ext cx="2592360" cy="750240"/>
        </a:xfrm>
        <a:prstGeom prst="rect">
          <a:avLst/>
        </a:prstGeom>
        <a:solidFill>
          <a:srgbClr val="4285F4"/>
        </a:solidFill>
        <a:ln w="12700">
          <a:solidFill>
            <a:srgbClr val="1C3A6A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tIns="45000" rIns="90000" bIns="45000" anchor="t">
          <a:noAutofit/>
        </a:bodyPr>
        <a:p>
          <a:pPr>
            <a:lnSpc>
              <a:spcPct val="100000"/>
            </a:lnSpc>
          </a:pPr>
          <a:r>
            <a:rPr lang="en-CA" sz="1100" b="0" u="none" strike="noStrike">
              <a:solidFill>
                <a:schemeClr val="lt1"/>
              </a:solidFill>
              <a:effectLst/>
              <a:uFillTx/>
              <a:latin typeface="Arial"/>
              <a:ea typeface="Arial"/>
            </a:rPr>
            <a:t>Erase all values</a:t>
          </a:r>
          <a:endParaRPr lang="en-CA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 pitchFamily="0" charset="1"/>
        <a:ea typeface="Arial" pitchFamily="0" charset="1"/>
        <a:cs typeface="Arial" pitchFamily="0" charset="1"/>
      </a:majorFont>
      <a:minorFont>
        <a:latin typeface="Arial" pitchFamily="0" charset="1"/>
        <a:ea typeface="Arial" pitchFamily="0" charset="1"/>
        <a:cs typeface="Arial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outlinePr summaryBelow="0"/>
    <pageSetUpPr fitToPage="false"/>
  </sheetPr>
  <dimension ref="A1:L12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E4" activeCellId="0" sqref="E4"/>
    </sheetView>
  </sheetViews>
  <sheetFormatPr defaultColWidth="12.66796875" defaultRowHeight="15.75" customHeight="true" zeroHeight="false" outlineLevelRow="0" outlineLevelCol="0"/>
  <sheetData>
    <row r="1" customFormat="false" ht="23.65" hidden="false" customHeight="false" outlineLevel="0" collapsed="false">
      <c r="A1" s="1"/>
      <c r="B1" s="1"/>
      <c r="C1" s="1"/>
      <c r="D1" s="1"/>
      <c r="E1" s="1" t="s">
        <v>0</v>
      </c>
      <c r="F1" s="1" t="s">
        <v>1</v>
      </c>
      <c r="H1" s="1"/>
      <c r="I1" s="2"/>
      <c r="J1" s="2"/>
      <c r="K1" s="2"/>
      <c r="L1" s="2"/>
    </row>
    <row r="2" customFormat="false" ht="48.95" hidden="false" customHeight="true" outlineLevel="0" collapsed="false">
      <c r="A2" s="1" t="s">
        <v>2</v>
      </c>
      <c r="B2" s="1" t="n">
        <f aca="false">E2+E3/60</f>
        <v>0</v>
      </c>
      <c r="C2" s="1"/>
      <c r="D2" s="1"/>
      <c r="E2" s="3"/>
      <c r="F2" s="3"/>
      <c r="H2" s="1"/>
    </row>
    <row r="3" customFormat="false" ht="52.6" hidden="false" customHeight="true" outlineLevel="0" collapsed="false">
      <c r="A3" s="1" t="s">
        <v>3</v>
      </c>
      <c r="B3" s="1" t="n">
        <f aca="false">-(F2+F3/60)</f>
        <v>-0</v>
      </c>
      <c r="C3" s="1"/>
      <c r="D3" s="1"/>
      <c r="E3" s="4"/>
      <c r="F3" s="3"/>
      <c r="H3" s="1"/>
    </row>
    <row r="4" customFormat="false" ht="49.7" hidden="false" customHeight="true" outlineLevel="0" collapsed="false">
      <c r="A4" s="1" t="s">
        <v>4</v>
      </c>
      <c r="B4" s="3"/>
      <c r="C4" s="1"/>
      <c r="D4" s="1"/>
      <c r="E4" s="1"/>
      <c r="F4" s="1"/>
      <c r="G4" s="1"/>
      <c r="H4" s="1"/>
    </row>
    <row r="5" customFormat="false" ht="66.5" hidden="false" customHeight="true" outlineLevel="0" collapsed="false">
      <c r="A5" s="1" t="s">
        <v>5</v>
      </c>
      <c r="B5" s="3"/>
      <c r="C5" s="1"/>
      <c r="D5" s="1"/>
      <c r="E5" s="1"/>
      <c r="F5" s="1"/>
      <c r="G5" s="1"/>
      <c r="H5" s="1"/>
    </row>
    <row r="6" customFormat="false" ht="15.75" hidden="false" customHeight="false" outlineLevel="0" collapsed="false">
      <c r="A6" s="1"/>
      <c r="B6" s="1"/>
      <c r="C6" s="1"/>
      <c r="D6" s="1"/>
      <c r="E6" s="1"/>
      <c r="F6" s="1"/>
      <c r="G6" s="1"/>
      <c r="H6" s="1"/>
    </row>
    <row r="7" customFormat="false" ht="15.75" hidden="false" customHeight="true" outlineLevel="0" collapsed="false">
      <c r="A7" s="1"/>
      <c r="B7" s="1"/>
      <c r="C7" s="1"/>
      <c r="D7" s="1"/>
      <c r="E7" s="1"/>
      <c r="F7" s="1"/>
      <c r="G7" s="1"/>
      <c r="H7" s="1"/>
    </row>
    <row r="8" customFormat="false" ht="23.65" hidden="false" customHeight="false" outlineLevel="0" collapsed="false">
      <c r="A8" s="2" t="s">
        <v>6</v>
      </c>
      <c r="B8" s="2" t="s">
        <v>7</v>
      </c>
      <c r="C8" s="2" t="s">
        <v>8</v>
      </c>
      <c r="D8" s="2" t="s">
        <v>9</v>
      </c>
      <c r="E8" s="2" t="s">
        <v>10</v>
      </c>
      <c r="F8" s="2" t="s">
        <v>11</v>
      </c>
      <c r="G8" s="2" t="s">
        <v>12</v>
      </c>
      <c r="H8" s="1"/>
    </row>
    <row r="9" customFormat="false" ht="23.65" hidden="false" customHeight="false" outlineLevel="0" collapsed="false">
      <c r="A9" s="5" t="s">
        <v>13</v>
      </c>
      <c r="B9" s="1" t="n">
        <v>78</v>
      </c>
      <c r="C9" s="1" t="n">
        <v>46.7504</v>
      </c>
      <c r="D9" s="2" t="n">
        <v>-48.7819</v>
      </c>
      <c r="E9" s="6" t="n">
        <f aca="false">ABS((C9-$B$2)*SIN(RADIANS($B$4)) - ((D9-$B$3)*COS(RADIANS(46.54)))*COS(RADIANS($B$4))) * 60</f>
        <v>2013.27194441954</v>
      </c>
      <c r="F9" s="6" t="str">
        <f aca="false">IF($B$5&gt;=(1.1*B9),"GREEN (Grounded)",IF(E9&gt;10,"GREEN",IF(E9&gt;=5,"YELLOW","RED")))</f>
        <v>GREEN</v>
      </c>
      <c r="G9" s="6" t="str">
        <f aca="false">IF(E9&gt;25,"GREEN (does not intersect)",IF($B$5&gt;=(1.1*B9),"GREEN (Grounded)",IF($B$5&lt;(0.7*B9),"GREEN",IF($B$5&gt;=(0.9*B9),"RED","YELLOW"))))</f>
        <v>GREEN (does not intersect)</v>
      </c>
      <c r="H9" s="1"/>
    </row>
    <row r="10" customFormat="false" ht="23.65" hidden="false" customHeight="false" outlineLevel="0" collapsed="false">
      <c r="A10" s="5" t="s">
        <v>14</v>
      </c>
      <c r="B10" s="1" t="n">
        <v>107</v>
      </c>
      <c r="C10" s="1" t="n">
        <v>46.7895</v>
      </c>
      <c r="D10" s="2" t="n">
        <v>-48.1417</v>
      </c>
      <c r="E10" s="6" t="n">
        <f aca="false">ABS((C10-$B$2)*SIN(RADIANS($B$4)) - ((D10-$B$3)*COS(RADIANS(46.54)))*COS(RADIANS($B$4))) * 60</f>
        <v>1986.85032699961</v>
      </c>
      <c r="F10" s="6" t="str">
        <f aca="false">IF($B$5&gt;=(1.1*B10),"GREEN (Grounded)",IF(E10&gt;10,"GREEN",IF(E10&gt;=5,"YELLOW","RED")))</f>
        <v>GREEN</v>
      </c>
      <c r="G10" s="6" t="str">
        <f aca="false">IF(E10&gt;25,"GREEN (does not intersect)",IF($B$5&gt;=(1.1*B10),"GREEN (Grounded)",IF($B$5&lt;(0.7*B10),"GREEN",IF($B$5&gt;=(0.9*B10),"RED","YELLOW"))))</f>
        <v>GREEN (does not intersect)</v>
      </c>
      <c r="H10" s="1"/>
    </row>
    <row r="11" customFormat="false" ht="23.65" hidden="false" customHeight="false" outlineLevel="0" collapsed="false">
      <c r="A11" s="5" t="s">
        <v>15</v>
      </c>
      <c r="B11" s="2" t="n">
        <v>91</v>
      </c>
      <c r="C11" s="1" t="n">
        <v>46.4</v>
      </c>
      <c r="D11" s="2" t="n">
        <v>-48.4</v>
      </c>
      <c r="E11" s="6" t="n">
        <f aca="false">ABS((C11-$B$2)*SIN(RADIANS($B$4)) - ((D11-$B$3)*COS(RADIANS(46.54)))*COS(RADIANS($B$4))) * 60</f>
        <v>1997.51059532134</v>
      </c>
      <c r="F11" s="6" t="str">
        <f aca="false">IF($B$5&gt;=(1.1*B11),"GREEN (Grounded)",IF(E11&gt;10,"GREEN",IF(E11&gt;=5,"YELLOW","RED")))</f>
        <v>GREEN</v>
      </c>
      <c r="G11" s="6" t="str">
        <f aca="false">IF(E11&gt;25,"GREEN (does not intersect)",IF($B$5&gt;=(1.1*B11),"GREEN (Grounded)",IF($B$5&lt;(0.7*B11),"GREEN",IF($B$5&gt;=(0.9*B11),"RED","YELLOW"))))</f>
        <v>GREEN (does not intersect)</v>
      </c>
      <c r="H11" s="1"/>
    </row>
    <row r="12" customFormat="false" ht="23.65" hidden="false" customHeight="false" outlineLevel="0" collapsed="false">
      <c r="A12" s="5" t="s">
        <v>16</v>
      </c>
      <c r="B12" s="2" t="n">
        <v>93</v>
      </c>
      <c r="C12" s="1" t="n">
        <v>46.544</v>
      </c>
      <c r="D12" s="2" t="n">
        <v>-48.498</v>
      </c>
      <c r="E12" s="6" t="n">
        <f aca="false">ABS((C12-$B$2)*SIN(RADIANS($B$4)) - ((D12-$B$3)*COS(RADIANS(46.54)))*COS(RADIANS($B$4))) * 60</f>
        <v>2001.55514156806</v>
      </c>
      <c r="F12" s="6" t="str">
        <f aca="false">IF($B$5&gt;=(1.1*B12),"GREEN (Grounded)",IF(E12&gt;10,"GREEN",IF(E12&gt;=5,"YELLOW","RED")))</f>
        <v>GREEN</v>
      </c>
      <c r="G12" s="6" t="str">
        <f aca="false">IF(E12&gt;25,"GREEN (does not intersect)",IF($B$5&gt;=(1.1*B12),"GREEN (Grounded)",IF($B$5&lt;(0.7*B12),"GREEN",IF($B$5&gt;=(0.9*B12),"RED","YELLOW"))))</f>
        <v>GREEN (does not intersect)</v>
      </c>
      <c r="H12" s="1"/>
    </row>
  </sheetData>
  <conditionalFormatting sqref="F1:F1000">
    <cfRule type="containsText" priority="2" operator="containsText" aboveAverage="0" equalAverage="0" bottom="0" percent="0" rank="0" text="YELLOW" dxfId="0">
      <formula>NOT(ISERROR(SEARCH("YELLOW",F1)))</formula>
    </cfRule>
    <cfRule type="containsText" priority="3" operator="containsText" aboveAverage="0" equalAverage="0" bottom="0" percent="0" rank="0" text="GREEN" dxfId="1">
      <formula>NOT(ISERROR(SEARCH("GREEN",F1)))</formula>
    </cfRule>
  </conditionalFormatting>
  <conditionalFormatting sqref="F1:G1000">
    <cfRule type="containsText" priority="4" operator="containsText" aboveAverage="0" equalAverage="0" bottom="0" percent="0" rank="0" text="RED" dxfId="2">
      <formula>NOT(ISERROR(SEARCH("RED",F1)))</formula>
    </cfRule>
  </conditionalFormatting>
  <conditionalFormatting sqref="G1:G1000">
    <cfRule type="containsText" priority="5" operator="containsText" aboveAverage="0" equalAverage="0" bottom="0" percent="0" rank="0" text="GREEN" dxfId="3">
      <formula>NOT(ISERROR(SEARCH("GREEN",G1)))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LibreOffice/26.2.3.2$MacOSX_AARCH64 LibreOffice_project/70e089b17412e4cb7773e41413306b17a2328c34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2026-06-02T23:06:57Z</dcterms:created>
  <dc:creator/>
  <dc:description/>
  <dc:language>en-CA</dc:language>
  <cp:lastModifiedBy/>
  <dcterms:modified xsi:type="dcterms:W3CDTF">2026-06-02T21:15:41Z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