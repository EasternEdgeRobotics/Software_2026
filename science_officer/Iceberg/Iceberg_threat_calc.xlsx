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ceberg Threat Level" sheetId="1" r:id="rId5"/>
  </sheets>
  <definedNames/>
  <calcPr/>
</workbook>
</file>

<file path=xl/sharedStrings.xml><?xml version="1.0" encoding="utf-8"?>
<sst xmlns="http://schemas.openxmlformats.org/spreadsheetml/2006/main" count="17" uniqueCount="17">
  <si>
    <t>Iceberg Latitude</t>
  </si>
  <si>
    <t>Iceberg Longitude</t>
  </si>
  <si>
    <t>Iceberg Latitude (Decimal)</t>
  </si>
  <si>
    <t>Iceberg Longitude (Decimal)</t>
  </si>
  <si>
    <t>Iceberg Degrees (Degrees)</t>
  </si>
  <si>
    <t>Iceberg Keel Depth (Meters)</t>
  </si>
  <si>
    <t>Platform Name</t>
  </si>
  <si>
    <t>Water Depth (Dw​)</t>
  </si>
  <si>
    <t>Platform Lat (Yp​)</t>
  </si>
  <si>
    <t>Platform Lon (Xp​)</t>
  </si>
  <si>
    <t>CPA Distance (NM)</t>
  </si>
  <si>
    <t>Platform Threat Level</t>
  </si>
  <si>
    <t>Subsea Asset Threat</t>
  </si>
  <si>
    <t>Hibernia</t>
  </si>
  <si>
    <t>Sea Rose</t>
  </si>
  <si>
    <t>Terra Nova</t>
  </si>
  <si>
    <t>Hebron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</si>
</sst>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rgb="FF444746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3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2" t="s">
        <v>0</v>
      </c>
      <c r="F1" s="2" t="s">
        <v>1</v>
      </c>
      <c r="H1" s="2"/>
      <c r="I1" s="3"/>
      <c r="J1" s="3"/>
      <c r="K1" s="3"/>
      <c r="L1" s="3"/>
    </row>
    <row r="2">
      <c r="A2" s="2" t="s">
        <v>2</v>
      </c>
      <c r="B2" s="2">
        <f>E2+E3/60</f>
        <v>47.75</v>
      </c>
      <c r="C2" s="1"/>
      <c r="D2" s="1"/>
      <c r="E2" s="4">
        <v>47.0</v>
      </c>
      <c r="F2" s="4">
        <v>48.0</v>
      </c>
      <c r="H2" s="2"/>
    </row>
    <row r="3">
      <c r="A3" s="2" t="s">
        <v>3</v>
      </c>
      <c r="B3" s="2">
        <f>-(F2+F3/60)</f>
        <v>-48.48333333</v>
      </c>
      <c r="C3" s="1"/>
      <c r="D3" s="1"/>
      <c r="E3" s="5">
        <v>45.0</v>
      </c>
      <c r="F3" s="4">
        <v>29.0</v>
      </c>
      <c r="H3" s="1"/>
    </row>
    <row r="4">
      <c r="A4" s="2" t="s">
        <v>4</v>
      </c>
      <c r="B4" s="4">
        <v>198.0</v>
      </c>
      <c r="C4" s="1"/>
      <c r="D4" s="1"/>
      <c r="E4" s="1"/>
      <c r="F4" s="1"/>
      <c r="G4" s="1"/>
      <c r="H4" s="1"/>
    </row>
    <row r="5">
      <c r="A5" s="2" t="s">
        <v>5</v>
      </c>
      <c r="B5" s="4">
        <v>84.0</v>
      </c>
      <c r="C5" s="1"/>
      <c r="D5" s="1"/>
      <c r="E5" s="1"/>
      <c r="F5" s="1"/>
      <c r="G5" s="1"/>
      <c r="H5" s="1"/>
    </row>
    <row r="6">
      <c r="A6" s="1"/>
      <c r="B6" s="1"/>
      <c r="C6" s="1"/>
      <c r="D6" s="1"/>
      <c r="E6" s="1"/>
      <c r="F6" s="1"/>
      <c r="G6" s="1"/>
      <c r="H6" s="1"/>
    </row>
    <row r="7">
      <c r="A7" s="1"/>
      <c r="B7" s="1"/>
      <c r="C7" s="1"/>
      <c r="D7" s="1"/>
      <c r="E7" s="1"/>
      <c r="F7" s="1"/>
      <c r="G7" s="1"/>
      <c r="H7" s="1"/>
    </row>
    <row r="8">
      <c r="A8" s="3" t="s">
        <v>6</v>
      </c>
      <c r="B8" s="3" t="s">
        <v>7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  <c r="H8" s="1"/>
    </row>
    <row r="9">
      <c r="A9" s="6" t="s">
        <v>13</v>
      </c>
      <c r="B9" s="2">
        <v>78.0</v>
      </c>
      <c r="C9" s="2">
        <v>46.7504</v>
      </c>
      <c r="D9" s="3">
        <v>-48.7819</v>
      </c>
      <c r="E9" s="7">
        <f t="shared" ref="E9:E12" si="1">ABS((C9-$B$2)*SIN(RADIANS($B$4)) - ((D9-$B$3)*COS(RADIANS(46.54)))*COS(RADIANS($B$4))) * 60</f>
        <v>6.814581108</v>
      </c>
      <c r="F9" s="7" t="str">
        <f t="shared" ref="F9:F12" si="2">IF($B$5&gt;=(1.1*B9),"GREEN (Grounded)",IF(E9&gt;10,"GREEN",IF(E9&gt;=5,"YELLOW","RED")))</f>
        <v>YELLOW</v>
      </c>
      <c r="G9" s="7" t="str">
        <f t="shared" ref="G9:G12" si="3">IF(E9&gt;25,"GREEN (does not intersect)",IF($B$5&gt;=(1.1*B9),"GREEN (Grounded)",IF($B$5&lt;(0.7*B9),"GREEN",IF($B$5&gt;=(0.9*B9),"RED","YELLOW"))))</f>
        <v>RED</v>
      </c>
      <c r="H9" s="1"/>
    </row>
    <row r="10">
      <c r="A10" s="6" t="s">
        <v>14</v>
      </c>
      <c r="B10" s="2">
        <v>107.0</v>
      </c>
      <c r="C10" s="2">
        <v>46.7895</v>
      </c>
      <c r="D10" s="3">
        <v>-48.1417</v>
      </c>
      <c r="E10" s="7">
        <f t="shared" si="1"/>
        <v>31.21807866</v>
      </c>
      <c r="F10" s="7" t="str">
        <f t="shared" si="2"/>
        <v>GREEN</v>
      </c>
      <c r="G10" s="7" t="str">
        <f t="shared" si="3"/>
        <v>GREEN (does not intersect)</v>
      </c>
      <c r="H10" s="1"/>
    </row>
    <row r="11">
      <c r="A11" s="6" t="s">
        <v>15</v>
      </c>
      <c r="B11" s="3">
        <v>91.0</v>
      </c>
      <c r="C11" s="2">
        <v>46.4</v>
      </c>
      <c r="D11" s="3">
        <v>-48.4</v>
      </c>
      <c r="E11" s="7">
        <f t="shared" si="1"/>
        <v>28.30128816</v>
      </c>
      <c r="F11" s="7" t="str">
        <f t="shared" si="2"/>
        <v>GREEN</v>
      </c>
      <c r="G11" s="7" t="str">
        <f t="shared" si="3"/>
        <v>GREEN (does not intersect)</v>
      </c>
      <c r="H11" s="1"/>
    </row>
    <row r="12">
      <c r="A12" s="6" t="s">
        <v>16</v>
      </c>
      <c r="B12" s="3">
        <v>93.0</v>
      </c>
      <c r="C12" s="2">
        <v>46.544</v>
      </c>
      <c r="D12" s="3">
        <v>-48.498</v>
      </c>
      <c r="E12" s="7">
        <f t="shared" si="1"/>
        <v>21.78478927</v>
      </c>
      <c r="F12" s="7" t="str">
        <f t="shared" si="2"/>
        <v>GREEN</v>
      </c>
      <c r="G12" s="7" t="str">
        <f t="shared" si="3"/>
        <v>RED</v>
      </c>
      <c r="H12" s="1"/>
    </row>
  </sheetData>
  <conditionalFormatting sqref="F1:F1000">
    <cfRule type="containsText" dxfId="0" priority="1" operator="containsText" text="YELLOW">
      <formula>NOT(ISERROR(SEARCH(("YELLOW"),(F1))))</formula>
    </cfRule>
  </conditionalFormatting>
  <conditionalFormatting sqref="F1:F1000">
    <cfRule type="containsText" dxfId="1" priority="2" operator="containsText" text="GREEN">
      <formula>NOT(ISERROR(SEARCH(("GREEN"),(F1))))</formula>
    </cfRule>
  </conditionalFormatting>
  <conditionalFormatting sqref="F1:F1000">
    <cfRule type="containsText" dxfId="2" priority="3" operator="containsText" text="RED">
      <formula>NOT(ISERROR(SEARCH(("RED"),(F1))))</formula>
    </cfRule>
  </conditionalFormatting>
  <conditionalFormatting sqref="G1:G1000">
    <cfRule type="containsText" dxfId="2" priority="4" operator="containsText" text="RED">
      <formula>NOT(ISERROR(SEARCH(("RED"),(G1))))</formula>
    </cfRule>
  </conditionalFormatting>
  <conditionalFormatting sqref="G1:G1000">
    <cfRule type="containsText" dxfId="1" priority="5" operator="containsText" text="GREEN">
      <formula>NOT(ISERROR(SEARCH(("GREEN"),(G1))))</formula>
    </cfRule>
  </conditionalFormatting>
  <drawing r:id="rId1"/>
</worksheet>
</file>